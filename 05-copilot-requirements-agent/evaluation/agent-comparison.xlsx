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Summary" sheetId="2" state="visible" r:id="rId4"/>
    <sheet name="How I sco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<sst xmlns="http://schemas.openxmlformats.org/spreadsheetml/2006/main" count="120" uniqueCount="47">
  <si>
    <t xml:space="preserve">Copilot Studio Requirements-to-Backlog Agent: instruction versions compared</t>
  </si>
  <si>
    <t xml:space="preserve">Same ten synthetic UK banking and insurance test cases, one run per case, scored by hand by one person. Read as a baseline comparison, not a precise measurement.</t>
  </si>
  <si>
    <t xml:space="preserve">Legend: blue text = scores entered by hand. Caught = Yes / Partial / No / n/a (n/a = case has no conflict or gap to catch). Concrete criteria = Yes / No.</t>
  </si>
  <si>
    <t xml:space="preserve">v1 baseline</t>
  </si>
  <si>
    <t xml:space="preserve">v2</t>
  </si>
  <si>
    <t xml:space="preserve">v3</t>
  </si>
  <si>
    <t xml:space="preserve">Case</t>
  </si>
  <si>
    <t xml:space="preserve">Description</t>
  </si>
  <si>
    <t xml:space="preserve">Missed requirements</t>
  </si>
  <si>
    <t xml:space="preserve">Invented requirements</t>
  </si>
  <si>
    <t xml:space="preserve">Acceptance criteria quality (1-5)</t>
  </si>
  <si>
    <t xml:space="preserve">Contradiction or gap caught</t>
  </si>
  <si>
    <t xml:space="preserve">Concrete criteria written</t>
  </si>
  <si>
    <t xml:space="preserve">Update home address with one-time code (control)</t>
  </si>
  <si>
    <t xml:space="preserve">n/a</t>
  </si>
  <si>
    <t xml:space="preserve">Yes</t>
  </si>
  <si>
    <t xml:space="preserve">Online claims portal feels slow (vague)</t>
  </si>
  <si>
    <t xml:space="preserve">Partial</t>
  </si>
  <si>
    <t xml:space="preserve">No</t>
  </si>
  <si>
    <t xml:space="preserve">Instant Faster Payments vs manual fraud hold over GBP 1,000 (contradiction)</t>
  </si>
  <si>
    <t xml:space="preserve">The business wants a report (missing detail)</t>
  </si>
  <si>
    <t xml:space="preserve">Identify vulnerable customers for Consumer Duty (ambiguous)</t>
  </si>
  <si>
    <t xml:space="preserve">Statements: view, PDF, paper-free, text alert (compound)</t>
  </si>
  <si>
    <t xml:space="preserve">Dropdown with twelve options on mortgage form (solution as requirement)</t>
  </si>
  <si>
    <t xml:space="preserve">Operations auto-open vs Compliance identity checks (stakeholder conflict)</t>
  </si>
  <si>
    <t xml:space="preserve">Highly available and secure (non-functional, unmeasurable)</t>
  </si>
  <si>
    <t xml:space="preserve">Two-way integration claims tool and legacy policy system (missing detail)</t>
  </si>
  <si>
    <t xml:space="preserve">Total / result</t>
  </si>
  <si>
    <t xml:space="preserve">Summary: v1 baseline vs v2 vs v3</t>
  </si>
  <si>
    <t xml:space="preserve">Measure</t>
  </si>
  <si>
    <t xml:space="preserve">Missed requirements (10 cases)</t>
  </si>
  <si>
    <t xml:space="preserve">Invented requirements (10 cases)</t>
  </si>
  <si>
    <t xml:space="preserve">Conflicts and gaps caught, fully</t>
  </si>
  <si>
    <t xml:space="preserve">Cases with concrete acceptance criteria (of 10)</t>
  </si>
  <si>
    <t xml:space="preserve">Average acceptance criteria quality (1-5)</t>
  </si>
  <si>
    <t xml:space="preserve">n/a (not scored)</t>
  </si>
  <si>
    <t xml:space="preserve">Reading</t>
  </si>
  <si>
    <t xml:space="preserve">v1 never missed a requirement but invented detail (for example the full list of twelve employment statuses in case 7) and resolved conflicts silently.</t>
  </si>
  <si>
    <t xml:space="preserve">v2 stopped the invention and caught every conflict and gap, but overcorrected: in case 6 it dropped three clear requirements and wrote concrete criteria in only 3 of 10 cases.</t>
  </si>
  <si>
    <t xml:space="preserve">v3 added split-first and stopped a missing benefit from blocking a story. It fixed the case 6 regression (0 missed) and kept 0 invented. One small step back: in case 7 it asked what the twelve options are but not what need the dropdown meets (scored Partial).</t>
  </si>
  <si>
    <t xml:space="preserve">Caveats: one run per case, the agent's wording varies between runs, and one person scored by hand.</t>
  </si>
  <si>
    <t xml:space="preserve">Scoring definitions</t>
  </si>
  <si>
    <t xml:space="preserve">A stated requirement that has no story. A requirement deliberately held back because it depends on an unresolved conflict is deferred, not missed.</t>
  </si>
  <si>
    <t xml:space="preserve">A story or criterion that adds a number, rule, list or system the input never gave.</t>
  </si>
  <si>
    <t xml:space="preserve">1 = vague or untestable, 5 = specific and testable as written. Scored for v1 only.</t>
  </si>
  <si>
    <t xml:space="preserve">Yes = the agent explicitly names the conflict or gap and asks. Partial = flags part of it or resolves it itself. No = does not flag it. n/a = the case has no conflict or gap to catch.</t>
  </si>
  <si>
    <t xml:space="preserve">Yes = the output contains real acceptance criteria rather than only [TO CONFIRM] placeholders.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</si>
</sst>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3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true" outlineLevel="0" collapsed="false">
      <c r="A5" s="3"/>
      <c r="B5" s="3"/>
      <c r="C5" s="4" t="s">
        <v>3</v>
      </c>
      <c r="D5" s="4"/>
      <c r="E5" s="4"/>
      <c r="F5" s="4"/>
      <c r="G5" s="4"/>
      <c r="H5" s="5" t="s">
        <v>4</v>
      </c>
      <c r="I5" s="5"/>
      <c r="J5" s="5"/>
      <c r="K5" s="5"/>
      <c r="L5" s="6" t="s">
        <v>5</v>
      </c>
      <c r="M5" s="6"/>
      <c r="N5" s="6"/>
      <c r="O5" s="6"/>
    </row>
    <row r="6" customFormat="false" ht="54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8</v>
      </c>
      <c r="I6" s="7" t="s">
        <v>9</v>
      </c>
      <c r="J6" s="7" t="s">
        <v>11</v>
      </c>
      <c r="K6" s="7" t="s">
        <v>12</v>
      </c>
      <c r="L6" s="7" t="s">
        <v>8</v>
      </c>
      <c r="M6" s="7" t="s">
        <v>9</v>
      </c>
      <c r="N6" s="7" t="s">
        <v>11</v>
      </c>
      <c r="O6" s="7" t="s">
        <v>12</v>
      </c>
    </row>
    <row r="7" customFormat="false" ht="15" hidden="false" customHeight="false" outlineLevel="0" collapsed="false">
      <c r="A7" s="8" t="n">
        <v>1</v>
      </c>
      <c r="B7" s="9" t="s">
        <v>13</v>
      </c>
      <c r="C7" s="10" t="n">
        <v>0</v>
      </c>
      <c r="D7" s="10" t="n">
        <v>3</v>
      </c>
      <c r="E7" s="10" t="n">
        <v>4</v>
      </c>
      <c r="F7" s="10" t="s">
        <v>14</v>
      </c>
      <c r="G7" s="10" t="s">
        <v>15</v>
      </c>
      <c r="H7" s="10" t="n">
        <v>0</v>
      </c>
      <c r="I7" s="10" t="n">
        <v>0</v>
      </c>
      <c r="J7" s="10" t="s">
        <v>14</v>
      </c>
      <c r="K7" s="10" t="s">
        <v>15</v>
      </c>
      <c r="L7" s="10" t="n">
        <v>0</v>
      </c>
      <c r="M7" s="10" t="n">
        <v>0</v>
      </c>
      <c r="N7" s="10" t="s">
        <v>14</v>
      </c>
      <c r="O7" s="10" t="s">
        <v>15</v>
      </c>
    </row>
    <row r="8" customFormat="false" ht="15" hidden="false" customHeight="false" outlineLevel="0" collapsed="false">
      <c r="A8" s="8" t="n">
        <v>2</v>
      </c>
      <c r="B8" s="9" t="s">
        <v>16</v>
      </c>
      <c r="C8" s="10" t="n">
        <v>0</v>
      </c>
      <c r="D8" s="10" t="n">
        <v>3</v>
      </c>
      <c r="E8" s="10" t="n">
        <v>3</v>
      </c>
      <c r="F8" s="10" t="s">
        <v>17</v>
      </c>
      <c r="G8" s="10" t="s">
        <v>15</v>
      </c>
      <c r="H8" s="10" t="n">
        <v>0</v>
      </c>
      <c r="I8" s="10" t="n">
        <v>0</v>
      </c>
      <c r="J8" s="10" t="s">
        <v>15</v>
      </c>
      <c r="K8" s="10" t="s">
        <v>18</v>
      </c>
      <c r="L8" s="10" t="n">
        <v>0</v>
      </c>
      <c r="M8" s="10" t="n">
        <v>0</v>
      </c>
      <c r="N8" s="10" t="s">
        <v>15</v>
      </c>
      <c r="O8" s="10" t="s">
        <v>18</v>
      </c>
    </row>
    <row r="9" customFormat="false" ht="23.85" hidden="false" customHeight="false" outlineLevel="0" collapsed="false">
      <c r="A9" s="8" t="n">
        <v>3</v>
      </c>
      <c r="B9" s="9" t="s">
        <v>19</v>
      </c>
      <c r="C9" s="10" t="n">
        <v>0</v>
      </c>
      <c r="D9" s="10" t="n">
        <v>1</v>
      </c>
      <c r="E9" s="10" t="n">
        <v>3</v>
      </c>
      <c r="F9" s="10" t="s">
        <v>18</v>
      </c>
      <c r="G9" s="10" t="s">
        <v>15</v>
      </c>
      <c r="H9" s="10" t="n">
        <v>0</v>
      </c>
      <c r="I9" s="10" t="n">
        <v>0</v>
      </c>
      <c r="J9" s="10" t="s">
        <v>15</v>
      </c>
      <c r="K9" s="10" t="s">
        <v>18</v>
      </c>
      <c r="L9" s="10" t="n">
        <v>0</v>
      </c>
      <c r="M9" s="10" t="n">
        <v>0</v>
      </c>
      <c r="N9" s="10" t="s">
        <v>15</v>
      </c>
      <c r="O9" s="10" t="s">
        <v>18</v>
      </c>
    </row>
    <row r="10" customFormat="false" ht="15" hidden="false" customHeight="false" outlineLevel="0" collapsed="false">
      <c r="A10" s="8" t="n">
        <v>4</v>
      </c>
      <c r="B10" s="9" t="s">
        <v>20</v>
      </c>
      <c r="C10" s="10" t="n">
        <v>0</v>
      </c>
      <c r="D10" s="10" t="n">
        <v>1</v>
      </c>
      <c r="E10" s="10" t="n">
        <v>2</v>
      </c>
      <c r="F10" s="10" t="s">
        <v>15</v>
      </c>
      <c r="G10" s="10" t="s">
        <v>15</v>
      </c>
      <c r="H10" s="10" t="n">
        <v>0</v>
      </c>
      <c r="I10" s="10" t="n">
        <v>0</v>
      </c>
      <c r="J10" s="10" t="s">
        <v>15</v>
      </c>
      <c r="K10" s="10" t="s">
        <v>18</v>
      </c>
      <c r="L10" s="10" t="n">
        <v>0</v>
      </c>
      <c r="M10" s="10" t="n">
        <v>0</v>
      </c>
      <c r="N10" s="10" t="s">
        <v>15</v>
      </c>
      <c r="O10" s="10" t="s">
        <v>18</v>
      </c>
    </row>
    <row r="11" customFormat="false" ht="15" hidden="false" customHeight="false" outlineLevel="0" collapsed="false">
      <c r="A11" s="8" t="n">
        <v>5</v>
      </c>
      <c r="B11" s="9" t="s">
        <v>21</v>
      </c>
      <c r="C11" s="10" t="n">
        <v>0</v>
      </c>
      <c r="D11" s="10" t="n">
        <v>6</v>
      </c>
      <c r="E11" s="10" t="n">
        <v>3</v>
      </c>
      <c r="F11" s="10" t="s">
        <v>18</v>
      </c>
      <c r="G11" s="10" t="s">
        <v>15</v>
      </c>
      <c r="H11" s="10" t="n">
        <v>0</v>
      </c>
      <c r="I11" s="10" t="n">
        <v>0</v>
      </c>
      <c r="J11" s="10" t="s">
        <v>15</v>
      </c>
      <c r="K11" s="10" t="s">
        <v>18</v>
      </c>
      <c r="L11" s="10" t="n">
        <v>0</v>
      </c>
      <c r="M11" s="10" t="n">
        <v>0</v>
      </c>
      <c r="N11" s="10" t="s">
        <v>15</v>
      </c>
      <c r="O11" s="10" t="s">
        <v>18</v>
      </c>
    </row>
    <row r="12" customFormat="false" ht="15" hidden="false" customHeight="false" outlineLevel="0" collapsed="false">
      <c r="A12" s="8" t="n">
        <v>6</v>
      </c>
      <c r="B12" s="9" t="s">
        <v>22</v>
      </c>
      <c r="C12" s="10" t="n">
        <v>0</v>
      </c>
      <c r="D12" s="10" t="n">
        <v>2</v>
      </c>
      <c r="E12" s="10" t="n">
        <v>4</v>
      </c>
      <c r="F12" s="10" t="s">
        <v>14</v>
      </c>
      <c r="G12" s="10" t="s">
        <v>15</v>
      </c>
      <c r="H12" s="10" t="n">
        <v>3</v>
      </c>
      <c r="I12" s="10" t="n">
        <v>0</v>
      </c>
      <c r="J12" s="10" t="s">
        <v>14</v>
      </c>
      <c r="K12" s="10" t="s">
        <v>15</v>
      </c>
      <c r="L12" s="10" t="n">
        <v>0</v>
      </c>
      <c r="M12" s="10" t="n">
        <v>0</v>
      </c>
      <c r="N12" s="10" t="s">
        <v>14</v>
      </c>
      <c r="O12" s="10" t="s">
        <v>15</v>
      </c>
    </row>
    <row r="13" customFormat="false" ht="23.85" hidden="false" customHeight="false" outlineLevel="0" collapsed="false">
      <c r="A13" s="8" t="n">
        <v>7</v>
      </c>
      <c r="B13" s="9" t="s">
        <v>23</v>
      </c>
      <c r="C13" s="10" t="n">
        <v>0</v>
      </c>
      <c r="D13" s="10" t="n">
        <v>4</v>
      </c>
      <c r="E13" s="10" t="n">
        <v>3</v>
      </c>
      <c r="F13" s="10" t="s">
        <v>18</v>
      </c>
      <c r="G13" s="10" t="s">
        <v>15</v>
      </c>
      <c r="H13" s="10" t="n">
        <v>0</v>
      </c>
      <c r="I13" s="10" t="n">
        <v>0</v>
      </c>
      <c r="J13" s="10" t="s">
        <v>15</v>
      </c>
      <c r="K13" s="10" t="s">
        <v>15</v>
      </c>
      <c r="L13" s="10" t="n">
        <v>0</v>
      </c>
      <c r="M13" s="10" t="n">
        <v>0</v>
      </c>
      <c r="N13" s="10" t="s">
        <v>17</v>
      </c>
      <c r="O13" s="10" t="s">
        <v>15</v>
      </c>
    </row>
    <row r="14" customFormat="false" ht="23.85" hidden="false" customHeight="false" outlineLevel="0" collapsed="false">
      <c r="A14" s="8" t="n">
        <v>8</v>
      </c>
      <c r="B14" s="9" t="s">
        <v>24</v>
      </c>
      <c r="C14" s="10" t="n">
        <v>0</v>
      </c>
      <c r="D14" s="10" t="n">
        <v>1</v>
      </c>
      <c r="E14" s="10" t="n">
        <v>4</v>
      </c>
      <c r="F14" s="10" t="s">
        <v>17</v>
      </c>
      <c r="G14" s="10" t="s">
        <v>15</v>
      </c>
      <c r="H14" s="10" t="n">
        <v>0</v>
      </c>
      <c r="I14" s="10" t="n">
        <v>0</v>
      </c>
      <c r="J14" s="10" t="s">
        <v>15</v>
      </c>
      <c r="K14" s="10" t="s">
        <v>18</v>
      </c>
      <c r="L14" s="10" t="n">
        <v>0</v>
      </c>
      <c r="M14" s="10" t="n">
        <v>0</v>
      </c>
      <c r="N14" s="10" t="s">
        <v>15</v>
      </c>
      <c r="O14" s="10" t="s">
        <v>18</v>
      </c>
    </row>
    <row r="15" customFormat="false" ht="15" hidden="false" customHeight="false" outlineLevel="0" collapsed="false">
      <c r="A15" s="8" t="n">
        <v>9</v>
      </c>
      <c r="B15" s="9" t="s">
        <v>25</v>
      </c>
      <c r="C15" s="10" t="n">
        <v>0</v>
      </c>
      <c r="D15" s="10" t="n">
        <v>6</v>
      </c>
      <c r="E15" s="10" t="n">
        <v>3</v>
      </c>
      <c r="F15" s="10" t="s">
        <v>17</v>
      </c>
      <c r="G15" s="10" t="s">
        <v>15</v>
      </c>
      <c r="H15" s="10" t="n">
        <v>0</v>
      </c>
      <c r="I15" s="10" t="n">
        <v>0</v>
      </c>
      <c r="J15" s="10" t="s">
        <v>15</v>
      </c>
      <c r="K15" s="10" t="s">
        <v>18</v>
      </c>
      <c r="L15" s="10" t="n">
        <v>0</v>
      </c>
      <c r="M15" s="10" t="n">
        <v>0</v>
      </c>
      <c r="N15" s="10" t="s">
        <v>15</v>
      </c>
      <c r="O15" s="10" t="s">
        <v>18</v>
      </c>
    </row>
    <row r="16" customFormat="false" ht="23.85" hidden="false" customHeight="false" outlineLevel="0" collapsed="false">
      <c r="A16" s="8" t="n">
        <v>10</v>
      </c>
      <c r="B16" s="9" t="s">
        <v>26</v>
      </c>
      <c r="C16" s="10" t="n">
        <v>0</v>
      </c>
      <c r="D16" s="10" t="n">
        <v>5</v>
      </c>
      <c r="E16" s="10" t="n">
        <v>3</v>
      </c>
      <c r="F16" s="10" t="s">
        <v>15</v>
      </c>
      <c r="G16" s="10" t="s">
        <v>15</v>
      </c>
      <c r="H16" s="10" t="n">
        <v>0</v>
      </c>
      <c r="I16" s="10" t="n">
        <v>0</v>
      </c>
      <c r="J16" s="10" t="s">
        <v>15</v>
      </c>
      <c r="K16" s="10" t="s">
        <v>18</v>
      </c>
      <c r="L16" s="10" t="n">
        <v>0</v>
      </c>
      <c r="M16" s="10" t="n">
        <v>0</v>
      </c>
      <c r="N16" s="10" t="s">
        <v>15</v>
      </c>
      <c r="O16" s="10" t="s">
        <v>18</v>
      </c>
    </row>
    <row r="17" customFormat="false" ht="15" hidden="false" customHeight="false" outlineLevel="0" collapsed="false">
      <c r="A17" s="11" t="s">
        <v>27</v>
      </c>
      <c r="B17" s="12"/>
      <c r="C17" s="12" t="n">
        <f aca="false">IF(COUNT(C7:C16)=0,"",SUM(C7:C16))</f>
        <v>0</v>
      </c>
      <c r="D17" s="12" t="n">
        <f aca="false">IF(COUNT(D7:D16)=0,"",SUM(D7:D16))</f>
        <v>32</v>
      </c>
      <c r="E17" s="13" t="n">
        <f aca="false">IFERROR(AVERAGE(E7:E16),"")</f>
        <v>3.2</v>
      </c>
      <c r="F17" s="12" t="str">
        <f aca="false">IF(COUNTA(F7:F16)=0,"",COUNTIF(F7:F16,"Yes")&amp;" of "&amp;(COUNTA(F7:F16)-COUNTIF(F7:F16,"n/a")))</f>
        <v>2 of 8</v>
      </c>
      <c r="G17" s="12" t="n">
        <f aca="false">IF(COUNTA(G7:G16)=0,"",COUNTIF(G7:G16,"Yes"))</f>
        <v>10</v>
      </c>
      <c r="H17" s="12" t="n">
        <f aca="false">IF(COUNT(H7:H16)=0,"",SUM(H7:H16))</f>
        <v>3</v>
      </c>
      <c r="I17" s="12" t="n">
        <f aca="false">IF(COUNT(I7:I16)=0,"",SUM(I7:I16))</f>
        <v>0</v>
      </c>
      <c r="J17" s="12" t="str">
        <f aca="false">IF(COUNTA(J7:J16)=0,"",COUNTIF(J7:J16,"Yes")&amp;" of "&amp;(COUNTA(J7:J16)-COUNTIF(J7:J16,"n/a")))</f>
        <v>8 of 8</v>
      </c>
      <c r="K17" s="12" t="n">
        <f aca="false">IF(COUNTA(K7:K16)=0,"",COUNTIF(K7:K16,"Yes"))</f>
        <v>3</v>
      </c>
      <c r="L17" s="12" t="n">
        <f aca="false">IF(COUNT(L7:L16)=0,"",SUM(L7:L16))</f>
        <v>0</v>
      </c>
      <c r="M17" s="12" t="n">
        <f aca="false">IF(COUNT(M7:M16)=0,"",SUM(M7:M16))</f>
        <v>0</v>
      </c>
      <c r="N17" s="12" t="str">
        <f aca="false">IF(COUNTA(N7:N16)=0,"",COUNTIF(N7:N16,"Yes")&amp;" of "&amp;(COUNTA(N7:N16)-COUNTIF(N7:N16,"n/a")))</f>
        <v>7 of 8</v>
      </c>
      <c r="O17" s="12" t="n">
        <f aca="false">IF(COUNTA(O7:O16)=0,"",COUNTIF(O7:O16,"Yes"))</f>
        <v>3</v>
      </c>
    </row>
  </sheetData>
  <mergeCells count="3">
    <mergeCell ref="C5:G5"/>
    <mergeCell ref="H5:K5"/>
    <mergeCell ref="L5:O5"/>
  </mergeCells>
  <dataValidations count="2">
    <dataValidation allowBlank="true" errorStyle="stop" operator="between" showDropDown="false" showErrorMessage="false" showInputMessage="false" sqref="F7:F16 J7:J16 N7:N16" type="list">
      <formula1>"Yes,Partial,No,n/a"</formula1>
      <formula2>0</formula2>
    </dataValidation>
    <dataValidation allowBlank="true" errorStyle="stop" operator="between" showDropDown="false" showErrorMessage="false" showInputMessage="false" sqref="G7:G16 K7:K16 O7:O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6.15" hidden="false" customHeight="false" outlineLevel="0" collapsed="false">
      <c r="A1" s="1" t="s">
        <v>28</v>
      </c>
    </row>
    <row r="3" customFormat="false" ht="15" hidden="false" customHeight="false" outlineLevel="0" collapsed="false">
      <c r="A3" s="7" t="s">
        <v>29</v>
      </c>
      <c r="B3" s="7" t="s">
        <v>3</v>
      </c>
      <c r="C3" s="7" t="s">
        <v>4</v>
      </c>
      <c r="D3" s="7" t="s">
        <v>5</v>
      </c>
    </row>
    <row r="4" customFormat="false" ht="15" hidden="false" customHeight="false" outlineLevel="0" collapsed="false">
      <c r="A4" s="9" t="s">
        <v>30</v>
      </c>
      <c r="B4" s="14" t="n">
        <f aca="false">Results!C17</f>
        <v>0</v>
      </c>
      <c r="C4" s="14" t="n">
        <f aca="false">Results!H17</f>
        <v>3</v>
      </c>
      <c r="D4" s="14" t="n">
        <f aca="false">Results!L17</f>
        <v>0</v>
      </c>
    </row>
    <row r="5" customFormat="false" ht="15" hidden="false" customHeight="false" outlineLevel="0" collapsed="false">
      <c r="A5" s="9" t="s">
        <v>31</v>
      </c>
      <c r="B5" s="14" t="n">
        <f aca="false">Results!D17</f>
        <v>32</v>
      </c>
      <c r="C5" s="14" t="n">
        <f aca="false">Results!I17</f>
        <v>0</v>
      </c>
      <c r="D5" s="14" t="n">
        <f aca="false">Results!M17</f>
        <v>0</v>
      </c>
    </row>
    <row r="6" customFormat="false" ht="15" hidden="false" customHeight="false" outlineLevel="0" collapsed="false">
      <c r="A6" s="9" t="s">
        <v>32</v>
      </c>
      <c r="B6" s="14" t="str">
        <f aca="false">Results!F17</f>
        <v>2 of 8</v>
      </c>
      <c r="C6" s="14" t="str">
        <f aca="false">Results!J17</f>
        <v>8 of 8</v>
      </c>
      <c r="D6" s="14" t="str">
        <f aca="false">Results!N17</f>
        <v>7 of 8</v>
      </c>
    </row>
    <row r="7" customFormat="false" ht="15" hidden="false" customHeight="false" outlineLevel="0" collapsed="false">
      <c r="A7" s="9" t="s">
        <v>33</v>
      </c>
      <c r="B7" s="14" t="n">
        <f aca="false">Results!G17</f>
        <v>10</v>
      </c>
      <c r="C7" s="14" t="n">
        <f aca="false">Results!K17</f>
        <v>3</v>
      </c>
      <c r="D7" s="14" t="n">
        <f aca="false">Results!O17</f>
        <v>3</v>
      </c>
    </row>
    <row r="8" customFormat="false" ht="15" hidden="false" customHeight="false" outlineLevel="0" collapsed="false">
      <c r="A8" s="9" t="s">
        <v>34</v>
      </c>
      <c r="B8" s="15" t="n">
        <f aca="false">Results!E17</f>
        <v>3.2</v>
      </c>
      <c r="C8" s="14" t="s">
        <v>35</v>
      </c>
      <c r="D8" s="14" t="s">
        <v>35</v>
      </c>
    </row>
    <row r="10" customFormat="false" ht="15" hidden="false" customHeight="false" outlineLevel="0" collapsed="false">
      <c r="A10" s="16" t="s">
        <v>36</v>
      </c>
    </row>
    <row r="11" customFormat="false" ht="30" hidden="false" customHeight="true" outlineLevel="0" collapsed="false">
      <c r="A11" s="17" t="s">
        <v>37</v>
      </c>
      <c r="B11" s="17"/>
      <c r="C11" s="17"/>
      <c r="D11" s="17"/>
    </row>
    <row r="12" customFormat="false" ht="30" hidden="false" customHeight="true" outlineLevel="0" collapsed="false">
      <c r="A12" s="17" t="s">
        <v>38</v>
      </c>
      <c r="B12" s="17"/>
      <c r="C12" s="17"/>
      <c r="D12" s="17"/>
    </row>
    <row r="13" customFormat="false" ht="30" hidden="false" customHeight="true" outlineLevel="0" collapsed="false">
      <c r="A13" s="17" t="s">
        <v>39</v>
      </c>
      <c r="B13" s="17"/>
      <c r="C13" s="17"/>
      <c r="D13" s="17"/>
    </row>
    <row r="14" customFormat="false" ht="30" hidden="false" customHeight="true" outlineLevel="0" collapsed="false">
      <c r="A14" s="17" t="s">
        <v>40</v>
      </c>
      <c r="B14" s="17"/>
      <c r="C14" s="17"/>
      <c r="D14" s="17"/>
    </row>
  </sheetData>
  <mergeCells count="4">
    <mergeCell ref="A11:D11"/>
    <mergeCell ref="A12:D12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41</v>
      </c>
    </row>
    <row r="3" customFormat="false" ht="45" hidden="false" customHeight="true" outlineLevel="0" collapsed="false">
      <c r="A3" s="18" t="s">
        <v>8</v>
      </c>
      <c r="B3" s="19" t="s">
        <v>42</v>
      </c>
    </row>
    <row r="4" customFormat="false" ht="45" hidden="false" customHeight="true" outlineLevel="0" collapsed="false">
      <c r="A4" s="18" t="s">
        <v>9</v>
      </c>
      <c r="B4" s="19" t="s">
        <v>43</v>
      </c>
    </row>
    <row r="5" customFormat="false" ht="45" hidden="false" customHeight="true" outlineLevel="0" collapsed="false">
      <c r="A5" s="18" t="s">
        <v>10</v>
      </c>
      <c r="B5" s="19" t="s">
        <v>44</v>
      </c>
    </row>
    <row r="6" customFormat="false" ht="45" hidden="false" customHeight="true" outlineLevel="0" collapsed="false">
      <c r="A6" s="18" t="s">
        <v>11</v>
      </c>
      <c r="B6" s="19" t="s">
        <v>45</v>
      </c>
    </row>
    <row r="7" customFormat="false" ht="45" hidden="false" customHeight="true" outlineLevel="0" collapsed="false">
      <c r="A7" s="18" t="s">
        <v>12</v>
      </c>
      <c r="B7" s="1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2026-10-30T21:40:30Z</dcterms:created>
  <dc:creator>openpyxl</dc:creator>
  <dc:description/>
  <dc:language>en-US</dc:language>
  <cp:lastModifiedBy/>
  <dcterms:modified xsi:type="dcterms:W3CDTF">2026-10-30T21:40:30Z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